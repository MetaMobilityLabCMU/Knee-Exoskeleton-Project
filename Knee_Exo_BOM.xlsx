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s" sheetId="1" r:id="rId5"/>
  </sheets>
  <definedNames/>
  <calcPr/>
</workbook>
</file>

<file path=xl/sharedStrings.xml><?xml version="1.0" encoding="utf-8"?>
<sst xmlns="http://schemas.openxmlformats.org/spreadsheetml/2006/main" count="226" uniqueCount="145">
  <si>
    <t>Part Name</t>
  </si>
  <si>
    <t>Spec</t>
  </si>
  <si>
    <t>Type</t>
  </si>
  <si>
    <t>Quantity</t>
  </si>
  <si>
    <t>Notes</t>
  </si>
  <si>
    <t>Name</t>
  </si>
  <si>
    <t>Unit Price</t>
  </si>
  <si>
    <t>Total</t>
  </si>
  <si>
    <t>Provider</t>
  </si>
  <si>
    <t>Link</t>
  </si>
  <si>
    <t>Thigh Bar</t>
  </si>
  <si>
    <t>PAHT-CF</t>
  </si>
  <si>
    <t>3D print</t>
  </si>
  <si>
    <t>M4 Fastener Kit</t>
  </si>
  <si>
    <t>Amazon</t>
  </si>
  <si>
    <t>https://a.co/d/0dEzoNLS</t>
  </si>
  <si>
    <t>Mywish 380 Pcs M4 Screw Nuts and Bolts Assortment Kit, 304 Stainless Steel Button Head Socket Cap Metric Screws Bolts, Spring &amp; Flat Lock Washers/Nuts/Hex Wrenches, M4*8/10/12/16/20/25/30</t>
  </si>
  <si>
    <t>Shank Bar Top</t>
  </si>
  <si>
    <t>Standoff Kit</t>
  </si>
  <si>
    <t>https://a.co/d/0955o79O</t>
  </si>
  <si>
    <t>HELIFOUNER 242 Pieces M2.5 Male Female Hex Brass Spacers Standoffs Screws Nuts Assortment Kit, Threaded Pillar for Printed Circuit Board Motherboard</t>
  </si>
  <si>
    <t>Shank Bar Bottom</t>
  </si>
  <si>
    <t>PAHT-CF Filament</t>
  </si>
  <si>
    <t>Bambu</t>
  </si>
  <si>
    <t>https://us.store.bambulab.com/products/paht-cf?id=41009450483848</t>
  </si>
  <si>
    <t>PAHT-CF, 1kg</t>
  </si>
  <si>
    <t>Shank Bar Connector</t>
  </si>
  <si>
    <t>M3 Motor Fastener</t>
  </si>
  <si>
    <t>McMaster</t>
  </si>
  <si>
    <t>https://www.mcmaster.com/91294A130/</t>
  </si>
  <si>
    <t>Black-Oxide Alloy Steel Hex-Drive Flat Head Screw
90 Degree Countersink, M3 x 0.5 mm Thread Size, 10 mm Long</t>
  </si>
  <si>
    <t>Ankle Bar Slider</t>
  </si>
  <si>
    <t>Sub Section</t>
  </si>
  <si>
    <t>Price</t>
  </si>
  <si>
    <t>Thigh Cuff</t>
  </si>
  <si>
    <t>Mechanical Total</t>
  </si>
  <si>
    <t>Shank Cuff</t>
  </si>
  <si>
    <t>Electrical Total</t>
  </si>
  <si>
    <t>Ankle Cuff</t>
  </si>
  <si>
    <t>AK80-9 V3 Motor</t>
  </si>
  <si>
    <t>CubeMars</t>
  </si>
  <si>
    <t>https://www.cubemars.com/product/ak80-9-v3-0-robotic-actuator.html</t>
  </si>
  <si>
    <t>AK80-9 V3.0 KV100</t>
  </si>
  <si>
    <t>Low-Level PCB</t>
  </si>
  <si>
    <t>Hex-Drive Flat Head Screw</t>
  </si>
  <si>
    <t>90 Degree Countersink, M3 x 0.5 mm Thread Size, 10 mm Long</t>
  </si>
  <si>
    <t>Fastener</t>
  </si>
  <si>
    <t>Motor mount to thigh bar</t>
  </si>
  <si>
    <t>IMU</t>
  </si>
  <si>
    <t>Adafruit</t>
  </si>
  <si>
    <t>https://www.adafruit.com/product/4554?srsltid=AYCX9vJ8C2Kx5ioDzrgrNrUuMd-4mdC4EPLTLP1lEBFI9ydf3amw82rL</t>
  </si>
  <si>
    <t>Adafruit TDK InvenSense ICM-20948 9-DoF IMU</t>
  </si>
  <si>
    <t>High-Level PCB</t>
  </si>
  <si>
    <t>Stainless Steel Button Head Hex-Drive Screw</t>
  </si>
  <si>
    <t>M4 x 0.7 mm Thread Size, 12 mm Long</t>
  </si>
  <si>
    <t>3 for cuff, 6 for motor mount to shank bar top</t>
  </si>
  <si>
    <t>Buck Converter</t>
  </si>
  <si>
    <t>https://a.co/d/0db9gjQJ</t>
  </si>
  <si>
    <t>EBOOT 3 Pack MP1584EN DC-DC Buck Converter 24V to 12V 9V 5V 3V Adjustable</t>
  </si>
  <si>
    <t>Grand Total</t>
  </si>
  <si>
    <t>M4 x 0.7 mm Thread Size, 16 mm Long</t>
  </si>
  <si>
    <t>Cuff to bars</t>
  </si>
  <si>
    <t>Battery</t>
  </si>
  <si>
    <t>-</t>
  </si>
  <si>
    <t>M4 x 0.7 mm Thread Size, 20 mm Long</t>
  </si>
  <si>
    <t>Ankle cuff to bar</t>
  </si>
  <si>
    <t>Emergency Stop (E-STOP)</t>
  </si>
  <si>
    <t>6061 Aluminum Hex Nuts</t>
  </si>
  <si>
    <t>M4 x 0.7 mm Thread Size</t>
  </si>
  <si>
    <t xml:space="preserve">16 for cuffs, 1 for ankle adjustment </t>
  </si>
  <si>
    <t>Clamping Handle with Threaded Stud</t>
  </si>
  <si>
    <t>M4 x 0.7 mm Size, 15mm Long Thread</t>
  </si>
  <si>
    <t>Optionally can just be a M4 bolt</t>
  </si>
  <si>
    <t>Male-Female Threaded Hex Standoff</t>
  </si>
  <si>
    <t>4.5mm Hex, 5mm Long, M2.5 x 0.45 mm Thread</t>
  </si>
  <si>
    <t>PCB standoff</t>
  </si>
  <si>
    <t>4.5mm Hex, 20mm Long, M2.5 x 0.45 mm Thread</t>
  </si>
  <si>
    <t>PCB cover standoff</t>
  </si>
  <si>
    <t>Stainless Steel Pan Head Phillips Screws</t>
  </si>
  <si>
    <t>M2.5 x 0.45mm Thread, 4mm Long</t>
  </si>
  <si>
    <t>PCB cover mounting</t>
  </si>
  <si>
    <t>Brass Hex Nut</t>
  </si>
  <si>
    <t>M2.5 x 0.45 mm Thread</t>
  </si>
  <si>
    <t>PCB standoff mounting</t>
  </si>
  <si>
    <t>Teensy 4.1</t>
  </si>
  <si>
    <t>Sparkfun</t>
  </si>
  <si>
    <t>https://www.sparkfun.com/teensy-4-1-headers.html</t>
  </si>
  <si>
    <t>Teensy 4.1 (Headers)</t>
  </si>
  <si>
    <t>PCB</t>
  </si>
  <si>
    <t>2 low-level board, 1 high level board</t>
  </si>
  <si>
    <t>Shank IMU Board</t>
  </si>
  <si>
    <t>https://a.co/d/065fXxdn</t>
  </si>
  <si>
    <t>Solderable Breadboard Mini PCB Board Gold-Plated Solder Breadboard for DIY Electronics Projects Apply to Arduino Soldering Projects 2.0"x1.5" Mixed Color(Pack of 6 Pcs)</t>
  </si>
  <si>
    <t>CAN Tran</t>
  </si>
  <si>
    <t>Adafruit CAN Pal - CAN Bus Transceiver - TJA1051T/3</t>
  </si>
  <si>
    <t>1 high-level board</t>
  </si>
  <si>
    <t>CAN Tranciever Chip</t>
  </si>
  <si>
    <t>DijiKey</t>
  </si>
  <si>
    <t>https://www.digikey.com/en/products/detail/nxp-usa-inc/TJA1051T-3-1J/5035822</t>
  </si>
  <si>
    <t>TJA1051T/3/1J</t>
  </si>
  <si>
    <t>CAN Tran Chip</t>
  </si>
  <si>
    <t>used on low-level board</t>
  </si>
  <si>
    <t>Buck Converter V1</t>
  </si>
  <si>
    <t>LM2596 DC to DC Buck Converter 3.0-40V to 1.5-35V Adjustable Voltage Regulator</t>
  </si>
  <si>
    <t>Old buck used on low-level board</t>
  </si>
  <si>
    <t>Buck Converter V2</t>
  </si>
  <si>
    <t>MP1584EN DC-DC Buck Converter</t>
  </si>
  <si>
    <t>New buck used on high and low boards</t>
  </si>
  <si>
    <t>Jetson Orin Nano</t>
  </si>
  <si>
    <t>Jetson Orin Nano Super Developer Kit</t>
  </si>
  <si>
    <t>High-level SBC</t>
  </si>
  <si>
    <t>PJRC, Sold on Sparkfun</t>
  </si>
  <si>
    <t>Low-level MCU</t>
  </si>
  <si>
    <t>2 pin connector</t>
  </si>
  <si>
    <t>Micro JST GH 2Pin 1.25mm</t>
  </si>
  <si>
    <t>2 for low-level, 3 for high level</t>
  </si>
  <si>
    <t>XT60</t>
  </si>
  <si>
    <t>XT60Connector XT60-M. 2-Pin Male</t>
  </si>
  <si>
    <t>Battery connection to high-level board</t>
  </si>
  <si>
    <t>XT30 2+2</t>
  </si>
  <si>
    <t>PCB Connector XT30PB(2+2)-M.G.</t>
  </si>
  <si>
    <t xml:space="preserve">High-to-low level board PWR connection </t>
  </si>
  <si>
    <t>CAN PAL</t>
  </si>
  <si>
    <t>https://www.adafruit.com/product/5708</t>
  </si>
  <si>
    <t>XT30 90 deg</t>
  </si>
  <si>
    <t>Connector XT30PW30-M.G.* Male Plug Right Angle for RC ESC</t>
  </si>
  <si>
    <t>Low-level board PWR + motor PWR +  E-Stop</t>
  </si>
  <si>
    <t>Jetson</t>
  </si>
  <si>
    <t>Nvidia</t>
  </si>
  <si>
    <t>https://marketplace.nvidia.com/en-us/enterprise/robotics-edge/jetson-orin-nano-super-developer-kit/</t>
  </si>
  <si>
    <t>XT30</t>
  </si>
  <si>
    <t>Waterproof Connector  XT30UW-F.G.Y  Female Plug  15A Gold Plated</t>
  </si>
  <si>
    <t>High-level E-Stop Connector</t>
  </si>
  <si>
    <t>Fuse Holder</t>
  </si>
  <si>
    <t>XFCN PTF-15</t>
  </si>
  <si>
    <t>Jetson Protection</t>
  </si>
  <si>
    <t>Fuse</t>
  </si>
  <si>
    <t>HRB 2packs 6S 22.2V 3300mAh 60C XT60 RC Lipo Battery</t>
  </si>
  <si>
    <t>Electrical</t>
  </si>
  <si>
    <t>APIELE 19mm Metal Emergency Stop Push Button</t>
  </si>
  <si>
    <t>Shank IMU cable</t>
  </si>
  <si>
    <t>10Gbps 5-Pack Snagless Cat 6 Ethernet Cable, 2ft</t>
  </si>
  <si>
    <t>Connects low-level board to Shank IMU</t>
  </si>
  <si>
    <t>Shank IMU board</t>
  </si>
  <si>
    <t>Solderable Breadboard Mini PCB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</si>
</sst>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0F1111"/>
      <name val="Arial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1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left style="thin">
        <color rgb="FF000000"/>
      </lef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right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horizontal="right" readingOrder="0" shrinkToFit="0" vertical="center" wrapText="0"/>
    </xf>
    <xf borderId="4" fillId="0" fontId="1" numFmtId="49" xfId="0" applyAlignment="1" applyBorder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7" fillId="0" fontId="1" numFmtId="49" xfId="0" applyAlignment="1" applyBorder="1" applyFont="1" applyNumberFormat="1">
      <alignment readingOrder="0" shrinkToFit="0" vertical="center" wrapText="0"/>
    </xf>
    <xf borderId="8" fillId="0" fontId="1" numFmtId="49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horizontal="right" readingOrder="0" shrinkToFit="0" vertical="center" wrapText="0"/>
    </xf>
    <xf borderId="10" fillId="0" fontId="1" numFmtId="49" xfId="0" applyAlignment="1" applyBorder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5" numFmtId="49" xfId="0" applyAlignment="1" applyFont="1" applyNumberFormat="1">
      <alignment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1" fillId="0" fontId="1" numFmtId="49" xfId="0" applyAlignment="1" applyBorder="1" applyFont="1" applyNumberFormat="1">
      <alignment readingOrder="0" shrinkToFit="0" vertical="center" wrapText="0"/>
    </xf>
    <xf borderId="12" fillId="0" fontId="1" numFmtId="49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horizontal="right" readingOrder="0" shrinkToFit="0" vertical="center" wrapText="0"/>
    </xf>
    <xf borderId="14" fillId="0" fontId="1" numFmtId="49" xfId="0" applyAlignment="1" applyBorder="1" applyFont="1" applyNumberFormat="1">
      <alignment shrinkToFit="0" vertical="center" wrapText="0"/>
    </xf>
    <xf borderId="4" fillId="0" fontId="1" numFmtId="49" xfId="0" applyAlignment="1" applyBorder="1" applyFont="1" applyNumberFormat="1">
      <alignment readingOrder="0" shrinkToFit="0" vertical="center" wrapText="0"/>
    </xf>
    <xf borderId="10" fillId="0" fontId="1" numFmtId="49" xfId="0" applyAlignment="1" applyBorder="1" applyFont="1" applyNumberFormat="1">
      <alignment readingOrder="0" shrinkToFit="0" vertical="center" wrapText="0"/>
    </xf>
    <xf borderId="14" fillId="0" fontId="1" numFmtId="49" xfId="0" applyAlignment="1" applyBorder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15" fillId="0" fontId="1" numFmtId="49" xfId="0" applyAlignment="1" applyBorder="1" applyFont="1" applyNumberFormat="1">
      <alignment readingOrder="0" shrinkToFit="0" vertical="center" wrapText="0"/>
    </xf>
    <xf borderId="16" fillId="0" fontId="1" numFmtId="49" xfId="0" applyAlignment="1" applyBorder="1" applyFont="1" applyNumberFormat="1">
      <alignment readingOrder="0" shrinkToFit="0" vertical="center" wrapText="0"/>
    </xf>
    <xf borderId="17" fillId="0" fontId="1" numFmtId="49" xfId="0" applyAlignment="1" applyBorder="1" applyFont="1" applyNumberFormat="1">
      <alignment readingOrder="0" shrinkToFit="0" vertical="center" wrapText="0"/>
    </xf>
    <xf borderId="18" fillId="0" fontId="1" numFmtId="49" xfId="0" applyAlignment="1" applyBorder="1" applyFont="1" applyNumberFormat="1">
      <alignment readingOrder="0" shrinkToFit="0" vertical="center" wrapText="0"/>
    </xf>
    <xf borderId="19" fillId="0" fontId="1" numFmtId="49" xfId="0" applyAlignment="1" applyBorder="1" applyFont="1" applyNumberFormat="1">
      <alignment readingOrder="0" shrinkToFit="0" vertical="center" wrapText="0"/>
    </xf>
    <xf borderId="20" fillId="0" fontId="1" numFmtId="49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6">
    <tableStyle count="4" pivot="0" name="Par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Parts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Parts-style 4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Parts-style 5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Parts-style 6">
      <tableStyleElement dxfId="8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1" displayName="Overall" name="Overall" id="1">
  <tableColumns count="5">
    <tableColumn name="Part Name" id="1"/>
    <tableColumn name="Spec" id="2"/>
    <tableColumn name="Type" id="3"/>
    <tableColumn name="Quantity" id="4"/>
    <tableColumn name="Notes" id="5"/>
  </tableColumns>
  <tableStyleInfo name="Parts-style" showColumnStripes="0" showFirstColumn="1" showLastColumn="1" showRowStripes="1"/>
</table>
</file>

<file path=xl/tables/table2.xml><?xml version="1.0" encoding="utf-8"?>
<table xmlns="http://schemas.openxmlformats.org/spreadsheetml/2006/main" ref="G1:M6" displayName="Mechanical_Purchase" name="Mechanical_Purchase" id="2">
  <tableColumns count="7">
    <tableColumn name="Name" id="1"/>
    <tableColumn name="Unit Price" id="2"/>
    <tableColumn name="Quantity" id="3"/>
    <tableColumn name="Total" id="4"/>
    <tableColumn name="Provider" id="5"/>
    <tableColumn name="Link" id="6"/>
    <tableColumn name="Part Name" id="7"/>
  </tableColumns>
  <tableStyleInfo name="Parts-style 2" showColumnStripes="0" showFirstColumn="1" showLastColumn="1" showRowStripes="1"/>
</table>
</file>

<file path=xl/tables/table3.xml><?xml version="1.0" encoding="utf-8"?>
<table xmlns="http://schemas.openxmlformats.org/spreadsheetml/2006/main" ref="O6:P11" displayName="Grand_Total" name="Grand_Total" id="3">
  <tableColumns count="2">
    <tableColumn name="Sub Section" id="1"/>
    <tableColumn name="Price" id="2"/>
  </tableColumns>
  <tableStyleInfo name="Parts-style 3" showColumnStripes="0" showFirstColumn="1" showLastColumn="1" showRowStripes="1"/>
</table>
</file>

<file path=xl/tables/table4.xml><?xml version="1.0" encoding="utf-8"?>
<table xmlns="http://schemas.openxmlformats.org/spreadsheetml/2006/main" ref="G8:M16" displayName="Electrical_Purchase" name="Electrical_Purchase" id="4">
  <tableColumns count="7">
    <tableColumn name="Name" id="1"/>
    <tableColumn name="Unit Price" id="2"/>
    <tableColumn name="Quantity" id="3"/>
    <tableColumn name="Total" id="4"/>
    <tableColumn name="Provider" id="5"/>
    <tableColumn name="Link" id="6"/>
    <tableColumn name="Part Name" id="7"/>
  </tableColumns>
  <tableStyleInfo name="Parts-style 4" showColumnStripes="0" showFirstColumn="1" showLastColumn="1" showRowStripes="1"/>
</table>
</file>

<file path=xl/tables/table5.xml><?xml version="1.0" encoding="utf-8"?>
<table xmlns="http://schemas.openxmlformats.org/spreadsheetml/2006/main" ref="G18:M26" displayName="Low_Level_Sepecific_PCB" name="Low_Level_Sepecific_PCB" id="5">
  <tableColumns count="7">
    <tableColumn name="Name" id="1"/>
    <tableColumn name="Unit Price" id="2"/>
    <tableColumn name="Quantity" id="3"/>
    <tableColumn name="Total" id="4"/>
    <tableColumn name="Provider" id="5"/>
    <tableColumn name="Link" id="6"/>
    <tableColumn name="Part Name" id="7"/>
  </tableColumns>
  <tableStyleInfo name="Parts-style 5" showColumnStripes="0" showFirstColumn="1" showLastColumn="1" showRowStripes="1"/>
</table>
</file>

<file path=xl/tables/table6.xml><?xml version="1.0" encoding="utf-8"?>
<table xmlns="http://schemas.openxmlformats.org/spreadsheetml/2006/main" ref="G28:M36" displayName="High_Level_Sepecific_PCB" name="High_Level_Sepecific_PCB" id="6">
  <tableColumns count="7">
    <tableColumn name="Name" id="1"/>
    <tableColumn name="Unit Price" id="2"/>
    <tableColumn name="Quantity" id="3"/>
    <tableColumn name="Total" id="4"/>
    <tableColumn name="Provider" id="5"/>
    <tableColumn name="Link" id="6"/>
    <tableColumn name="Part Name" id="7"/>
  </tableColumns>
  <tableStyleInfo name="Parts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s://www.adafruit.com/product/5708" TargetMode="External"/><Relationship Id="rId22" Type="http://schemas.openxmlformats.org/officeDocument/2006/relationships/table" Target="../tables/table3.xml"/><Relationship Id="rId10" Type="http://schemas.openxmlformats.org/officeDocument/2006/relationships/hyperlink" Target="https://www.digikey.com/en/products/detail/nxp-usa-inc/TJA1051T-3-1J/5035822" TargetMode="External"/><Relationship Id="rId21" Type="http://schemas.openxmlformats.org/officeDocument/2006/relationships/table" Target="../tables/table2.xml"/><Relationship Id="rId13" Type="http://schemas.openxmlformats.org/officeDocument/2006/relationships/drawing" Target="../drawings/drawing1.xml"/><Relationship Id="rId24" Type="http://schemas.openxmlformats.org/officeDocument/2006/relationships/table" Target="../tables/table5.xml"/><Relationship Id="rId12" Type="http://schemas.openxmlformats.org/officeDocument/2006/relationships/hyperlink" Target="https://marketplace.nvidia.com/en-us/enterprise/robotics-edge/jetson-orin-nano-super-developer-kit/" TargetMode="External"/><Relationship Id="rId23" Type="http://schemas.openxmlformats.org/officeDocument/2006/relationships/table" Target="../tables/table4.xml"/><Relationship Id="rId1" Type="http://schemas.openxmlformats.org/officeDocument/2006/relationships/hyperlink" Target="https://a.co/d/0dEzoNLS" TargetMode="External"/><Relationship Id="rId2" Type="http://schemas.openxmlformats.org/officeDocument/2006/relationships/hyperlink" Target="https://a.co/d/0955o79O" TargetMode="External"/><Relationship Id="rId3" Type="http://schemas.openxmlformats.org/officeDocument/2006/relationships/hyperlink" Target="https://us.store.bambulab.com/products/paht-cf?id=41009450483848" TargetMode="External"/><Relationship Id="rId4" Type="http://schemas.openxmlformats.org/officeDocument/2006/relationships/hyperlink" Target="https://www.mcmaster.com/91294A130/" TargetMode="External"/><Relationship Id="rId9" Type="http://schemas.openxmlformats.org/officeDocument/2006/relationships/hyperlink" Target="https://a.co/d/065fXxdn" TargetMode="External"/><Relationship Id="rId25" Type="http://schemas.openxmlformats.org/officeDocument/2006/relationships/table" Target="../tables/table6.xml"/><Relationship Id="rId5" Type="http://schemas.openxmlformats.org/officeDocument/2006/relationships/hyperlink" Target="https://www.cubemars.com/product/ak80-9-v3-0-robotic-actuator.html" TargetMode="External"/><Relationship Id="rId6" Type="http://schemas.openxmlformats.org/officeDocument/2006/relationships/hyperlink" Target="https://www.adafruit.com/product/4554?srsltid=AYCX9vJ8C2Kx5ioDzrgrNrUuMd-4mdC4EPLTLP1lEBFI9ydf3amw82rL" TargetMode="External"/><Relationship Id="rId7" Type="http://schemas.openxmlformats.org/officeDocument/2006/relationships/hyperlink" Target="https://a.co/d/0db9gjQJ" TargetMode="External"/><Relationship Id="rId8" Type="http://schemas.openxmlformats.org/officeDocument/2006/relationships/hyperlink" Target="https://www.sparkfun.com/teensy-4-1-heade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48.63"/>
    <col customWidth="1" min="3" max="4" width="15.13"/>
    <col customWidth="1" min="5" max="5" width="36.5"/>
    <col customWidth="1" min="7" max="7" width="21.38"/>
    <col customWidth="1" min="8" max="8" width="15.88"/>
    <col customWidth="1" min="9" max="9" width="14.88"/>
    <col customWidth="1" min="10" max="10" width="15.88"/>
    <col customWidth="1" min="11" max="11" width="14.88"/>
    <col customWidth="1" min="12" max="13" width="20.88"/>
    <col customWidth="1" min="15" max="15" width="13.3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6" t="s">
        <v>5</v>
      </c>
      <c r="H1" s="6" t="s">
        <v>6</v>
      </c>
      <c r="I1" s="6" t="s">
        <v>3</v>
      </c>
      <c r="J1" s="6" t="s">
        <v>7</v>
      </c>
      <c r="K1" s="6" t="s">
        <v>8</v>
      </c>
      <c r="L1" s="6" t="s">
        <v>9</v>
      </c>
      <c r="M1" s="6" t="s">
        <v>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2.5" customHeight="1">
      <c r="A2" s="7" t="s">
        <v>10</v>
      </c>
      <c r="B2" s="8" t="s">
        <v>11</v>
      </c>
      <c r="C2" s="9" t="s">
        <v>12</v>
      </c>
      <c r="D2" s="10">
        <v>1.0</v>
      </c>
      <c r="E2" s="11"/>
      <c r="F2" s="5"/>
      <c r="G2" s="12" t="s">
        <v>13</v>
      </c>
      <c r="H2" s="13">
        <v>8.39</v>
      </c>
      <c r="I2" s="14">
        <v>1.0</v>
      </c>
      <c r="J2" s="15">
        <f t="shared" ref="J2:J5" si="1">H2*I2</f>
        <v>8.39</v>
      </c>
      <c r="K2" s="12" t="s">
        <v>14</v>
      </c>
      <c r="L2" s="16" t="s">
        <v>15</v>
      </c>
      <c r="M2" s="17" t="s">
        <v>16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2.5" customHeight="1">
      <c r="A3" s="18" t="s">
        <v>17</v>
      </c>
      <c r="B3" s="19" t="s">
        <v>11</v>
      </c>
      <c r="C3" s="20" t="s">
        <v>12</v>
      </c>
      <c r="D3" s="21">
        <v>1.0</v>
      </c>
      <c r="E3" s="22"/>
      <c r="F3" s="5"/>
      <c r="G3" s="12" t="s">
        <v>18</v>
      </c>
      <c r="H3" s="13">
        <v>14.69</v>
      </c>
      <c r="I3" s="14">
        <v>1.0</v>
      </c>
      <c r="J3" s="15">
        <f t="shared" si="1"/>
        <v>14.69</v>
      </c>
      <c r="K3" s="12" t="s">
        <v>14</v>
      </c>
      <c r="L3" s="23" t="s">
        <v>19</v>
      </c>
      <c r="M3" s="13" t="s">
        <v>20</v>
      </c>
      <c r="N3" s="5"/>
      <c r="O3" s="24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2.5" customHeight="1">
      <c r="A4" s="18" t="s">
        <v>21</v>
      </c>
      <c r="B4" s="19" t="s">
        <v>11</v>
      </c>
      <c r="C4" s="20" t="s">
        <v>12</v>
      </c>
      <c r="D4" s="21">
        <v>1.0</v>
      </c>
      <c r="E4" s="22"/>
      <c r="F4" s="5"/>
      <c r="G4" s="12" t="s">
        <v>22</v>
      </c>
      <c r="H4" s="13">
        <v>94.99</v>
      </c>
      <c r="I4" s="14">
        <v>2.0</v>
      </c>
      <c r="J4" s="15">
        <f t="shared" si="1"/>
        <v>189.98</v>
      </c>
      <c r="K4" s="12" t="s">
        <v>23</v>
      </c>
      <c r="L4" s="25" t="s">
        <v>24</v>
      </c>
      <c r="M4" s="12" t="s">
        <v>25</v>
      </c>
      <c r="N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2.5" customHeight="1">
      <c r="A5" s="18" t="s">
        <v>26</v>
      </c>
      <c r="B5" s="19" t="s">
        <v>11</v>
      </c>
      <c r="C5" s="20" t="s">
        <v>12</v>
      </c>
      <c r="D5" s="21">
        <v>1.0</v>
      </c>
      <c r="E5" s="22"/>
      <c r="F5" s="5"/>
      <c r="G5" s="12" t="s">
        <v>27</v>
      </c>
      <c r="H5" s="13">
        <v>6.36</v>
      </c>
      <c r="I5" s="14">
        <v>1.0</v>
      </c>
      <c r="J5" s="15">
        <f t="shared" si="1"/>
        <v>6.36</v>
      </c>
      <c r="K5" s="12" t="s">
        <v>28</v>
      </c>
      <c r="L5" s="26" t="s">
        <v>29</v>
      </c>
      <c r="M5" s="12" t="s">
        <v>30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2.5" customHeight="1">
      <c r="A6" s="18" t="s">
        <v>31</v>
      </c>
      <c r="B6" s="19" t="s">
        <v>11</v>
      </c>
      <c r="C6" s="20" t="s">
        <v>12</v>
      </c>
      <c r="D6" s="21">
        <v>1.0</v>
      </c>
      <c r="E6" s="22"/>
      <c r="F6" s="5"/>
      <c r="G6" s="27"/>
      <c r="H6" s="15"/>
      <c r="I6" s="28"/>
      <c r="J6" s="15"/>
      <c r="K6" s="27"/>
      <c r="N6" s="5"/>
      <c r="O6" s="6" t="s">
        <v>32</v>
      </c>
      <c r="P6" s="6" t="s">
        <v>33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2.5" customHeight="1">
      <c r="A7" s="18" t="s">
        <v>34</v>
      </c>
      <c r="B7" s="19" t="s">
        <v>11</v>
      </c>
      <c r="C7" s="20" t="s">
        <v>12</v>
      </c>
      <c r="D7" s="21">
        <v>1.0</v>
      </c>
      <c r="E7" s="22"/>
      <c r="F7" s="5"/>
      <c r="N7" s="5"/>
      <c r="O7" s="29" t="s">
        <v>35</v>
      </c>
      <c r="P7" s="15">
        <f>SUM(Mechanical_Purchase[Total])</f>
        <v>219.42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22.5" customHeight="1">
      <c r="A8" s="18" t="s">
        <v>36</v>
      </c>
      <c r="B8" s="19" t="s">
        <v>11</v>
      </c>
      <c r="C8" s="20" t="s">
        <v>12</v>
      </c>
      <c r="D8" s="21">
        <v>1.0</v>
      </c>
      <c r="E8" s="22"/>
      <c r="F8" s="5"/>
      <c r="G8" s="6" t="s">
        <v>5</v>
      </c>
      <c r="H8" s="6" t="s">
        <v>6</v>
      </c>
      <c r="I8" s="6" t="s">
        <v>3</v>
      </c>
      <c r="J8" s="6" t="s">
        <v>7</v>
      </c>
      <c r="K8" s="6" t="s">
        <v>8</v>
      </c>
      <c r="L8" s="6" t="s">
        <v>9</v>
      </c>
      <c r="M8" s="6" t="s">
        <v>0</v>
      </c>
      <c r="N8" s="5"/>
      <c r="O8" s="29" t="s">
        <v>37</v>
      </c>
      <c r="P8" s="15">
        <f>SUM(Electrical_Purchase[Total])</f>
        <v>627.45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2.5" customHeight="1">
      <c r="A9" s="30" t="s">
        <v>38</v>
      </c>
      <c r="B9" s="31" t="s">
        <v>11</v>
      </c>
      <c r="C9" s="32" t="s">
        <v>12</v>
      </c>
      <c r="D9" s="33">
        <v>1.0</v>
      </c>
      <c r="E9" s="34"/>
      <c r="F9" s="5"/>
      <c r="G9" s="12" t="s">
        <v>39</v>
      </c>
      <c r="H9" s="13">
        <v>579.9</v>
      </c>
      <c r="I9" s="14">
        <v>1.0</v>
      </c>
      <c r="J9" s="15">
        <f t="shared" ref="J9:J11" si="2">H9*I9</f>
        <v>579.9</v>
      </c>
      <c r="K9" s="12" t="s">
        <v>40</v>
      </c>
      <c r="L9" s="25" t="s">
        <v>41</v>
      </c>
      <c r="M9" s="12" t="s">
        <v>42</v>
      </c>
      <c r="N9" s="5"/>
      <c r="O9" s="29" t="s">
        <v>43</v>
      </c>
      <c r="P9" s="15">
        <f>SUM(Low_Level_Sepecific_PCB[Total])</f>
        <v>47.42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22.5" customHeight="1">
      <c r="A10" s="7" t="s">
        <v>44</v>
      </c>
      <c r="B10" s="8" t="s">
        <v>45</v>
      </c>
      <c r="C10" s="9" t="s">
        <v>46</v>
      </c>
      <c r="D10" s="10">
        <v>8.0</v>
      </c>
      <c r="E10" s="35" t="s">
        <v>47</v>
      </c>
      <c r="F10" s="5"/>
      <c r="G10" s="12" t="s">
        <v>48</v>
      </c>
      <c r="H10" s="13">
        <v>19.95</v>
      </c>
      <c r="I10" s="14">
        <v>2.0</v>
      </c>
      <c r="J10" s="15">
        <f t="shared" si="2"/>
        <v>39.9</v>
      </c>
      <c r="K10" s="12" t="s">
        <v>49</v>
      </c>
      <c r="L10" s="25" t="s">
        <v>50</v>
      </c>
      <c r="M10" s="12" t="s">
        <v>51</v>
      </c>
      <c r="N10" s="5"/>
      <c r="O10" s="29" t="s">
        <v>52</v>
      </c>
      <c r="P10" s="15">
        <f>SUM(High_Level_Sepecific_PCB[Total])</f>
        <v>402.95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22.5" customHeight="1">
      <c r="A11" s="18" t="s">
        <v>53</v>
      </c>
      <c r="B11" s="19" t="s">
        <v>54</v>
      </c>
      <c r="C11" s="20" t="s">
        <v>46</v>
      </c>
      <c r="D11" s="21">
        <v>9.0</v>
      </c>
      <c r="E11" s="36" t="s">
        <v>55</v>
      </c>
      <c r="F11" s="5"/>
      <c r="G11" s="12" t="s">
        <v>56</v>
      </c>
      <c r="H11" s="13">
        <v>7.65</v>
      </c>
      <c r="I11" s="14">
        <v>1.0</v>
      </c>
      <c r="J11" s="15">
        <f t="shared" si="2"/>
        <v>7.65</v>
      </c>
      <c r="K11" s="12" t="s">
        <v>14</v>
      </c>
      <c r="L11" s="25" t="s">
        <v>57</v>
      </c>
      <c r="M11" s="12" t="s">
        <v>58</v>
      </c>
      <c r="N11" s="5"/>
      <c r="O11" s="29" t="s">
        <v>59</v>
      </c>
      <c r="P11" s="15">
        <f>SUM(P7:P10)</f>
        <v>1297.24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22.5" customHeight="1">
      <c r="A12" s="18" t="s">
        <v>53</v>
      </c>
      <c r="B12" s="19" t="s">
        <v>60</v>
      </c>
      <c r="C12" s="20" t="s">
        <v>46</v>
      </c>
      <c r="D12" s="21">
        <v>10.0</v>
      </c>
      <c r="E12" s="36" t="s">
        <v>61</v>
      </c>
      <c r="F12" s="5"/>
      <c r="G12" s="12" t="s">
        <v>62</v>
      </c>
      <c r="H12" s="29" t="s">
        <v>63</v>
      </c>
      <c r="I12" s="28"/>
      <c r="J12" s="15"/>
      <c r="K12" s="27"/>
      <c r="N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2.5" customHeight="1">
      <c r="A13" s="18" t="s">
        <v>53</v>
      </c>
      <c r="B13" s="19" t="s">
        <v>64</v>
      </c>
      <c r="C13" s="20" t="s">
        <v>46</v>
      </c>
      <c r="D13" s="21">
        <v>3.0</v>
      </c>
      <c r="E13" s="36" t="s">
        <v>65</v>
      </c>
      <c r="F13" s="5"/>
      <c r="G13" s="12" t="s">
        <v>66</v>
      </c>
      <c r="H13" s="15"/>
      <c r="I13" s="28"/>
      <c r="J13" s="15"/>
      <c r="K13" s="27"/>
      <c r="N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22.5" customHeight="1">
      <c r="A14" s="18" t="s">
        <v>67</v>
      </c>
      <c r="B14" s="19" t="s">
        <v>68</v>
      </c>
      <c r="C14" s="20" t="s">
        <v>46</v>
      </c>
      <c r="D14" s="21">
        <v>17.0</v>
      </c>
      <c r="E14" s="36" t="s">
        <v>69</v>
      </c>
      <c r="F14" s="5"/>
      <c r="G14" s="27"/>
      <c r="H14" s="15"/>
      <c r="I14" s="28"/>
      <c r="J14" s="15"/>
      <c r="K14" s="27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22.5" customHeight="1">
      <c r="A15" s="30" t="s">
        <v>70</v>
      </c>
      <c r="B15" s="31" t="s">
        <v>71</v>
      </c>
      <c r="C15" s="32" t="s">
        <v>46</v>
      </c>
      <c r="D15" s="33">
        <v>1.0</v>
      </c>
      <c r="E15" s="37" t="s">
        <v>72</v>
      </c>
      <c r="F15" s="5"/>
      <c r="G15" s="12"/>
      <c r="H15" s="13"/>
      <c r="I15" s="14"/>
      <c r="J15" s="15"/>
      <c r="K15" s="12"/>
      <c r="L15" s="38"/>
      <c r="M15" s="12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22.5" customHeight="1">
      <c r="A16" s="7" t="s">
        <v>73</v>
      </c>
      <c r="B16" s="8" t="s">
        <v>74</v>
      </c>
      <c r="C16" s="9" t="s">
        <v>46</v>
      </c>
      <c r="D16" s="10">
        <v>3.0</v>
      </c>
      <c r="E16" s="35" t="s">
        <v>75</v>
      </c>
      <c r="F16" s="5"/>
      <c r="G16" s="12"/>
      <c r="H16" s="13"/>
      <c r="I16" s="14"/>
      <c r="J16" s="15"/>
      <c r="K16" s="12"/>
      <c r="L16" s="38"/>
      <c r="M16" s="12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22.5" customHeight="1">
      <c r="A17" s="18" t="s">
        <v>73</v>
      </c>
      <c r="B17" s="19" t="s">
        <v>76</v>
      </c>
      <c r="C17" s="20" t="s">
        <v>46</v>
      </c>
      <c r="D17" s="21">
        <v>3.0</v>
      </c>
      <c r="E17" s="36" t="s">
        <v>77</v>
      </c>
      <c r="F17" s="5"/>
      <c r="N17" s="5"/>
      <c r="O17" s="5"/>
      <c r="P17" s="24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22.5" customHeight="1">
      <c r="A18" s="18" t="s">
        <v>78</v>
      </c>
      <c r="B18" s="19" t="s">
        <v>79</v>
      </c>
      <c r="C18" s="20" t="s">
        <v>46</v>
      </c>
      <c r="D18" s="21">
        <v>3.0</v>
      </c>
      <c r="E18" s="36" t="s">
        <v>80</v>
      </c>
      <c r="F18" s="5"/>
      <c r="G18" s="6" t="s">
        <v>5</v>
      </c>
      <c r="H18" s="6" t="s">
        <v>6</v>
      </c>
      <c r="I18" s="6" t="s">
        <v>3</v>
      </c>
      <c r="J18" s="6" t="s">
        <v>7</v>
      </c>
      <c r="K18" s="6" t="s">
        <v>8</v>
      </c>
      <c r="L18" s="6" t="s">
        <v>9</v>
      </c>
      <c r="M18" s="6" t="s">
        <v>0</v>
      </c>
      <c r="N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22.5" customHeight="1">
      <c r="A19" s="30" t="s">
        <v>81</v>
      </c>
      <c r="B19" s="31" t="s">
        <v>82</v>
      </c>
      <c r="C19" s="32" t="s">
        <v>46</v>
      </c>
      <c r="D19" s="33">
        <v>3.0</v>
      </c>
      <c r="E19" s="37" t="s">
        <v>83</v>
      </c>
      <c r="F19" s="5"/>
      <c r="G19" s="12" t="s">
        <v>84</v>
      </c>
      <c r="H19" s="13">
        <v>35.95</v>
      </c>
      <c r="I19" s="14">
        <v>1.0</v>
      </c>
      <c r="J19" s="15">
        <f t="shared" ref="J19:J21" si="3">H19*I19</f>
        <v>35.95</v>
      </c>
      <c r="K19" s="12" t="s">
        <v>85</v>
      </c>
      <c r="L19" s="25" t="s">
        <v>86</v>
      </c>
      <c r="M19" s="12" t="s">
        <v>87</v>
      </c>
      <c r="N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22.5" customHeight="1">
      <c r="A20" s="7" t="s">
        <v>48</v>
      </c>
      <c r="B20" s="8" t="s">
        <v>51</v>
      </c>
      <c r="C20" s="9" t="s">
        <v>88</v>
      </c>
      <c r="D20" s="10">
        <v>3.0</v>
      </c>
      <c r="E20" s="35" t="s">
        <v>89</v>
      </c>
      <c r="F20" s="5"/>
      <c r="G20" s="12" t="s">
        <v>90</v>
      </c>
      <c r="H20" s="13">
        <v>7.99</v>
      </c>
      <c r="I20" s="14">
        <v>1.0</v>
      </c>
      <c r="J20" s="15">
        <f t="shared" si="3"/>
        <v>7.99</v>
      </c>
      <c r="K20" s="12" t="s">
        <v>14</v>
      </c>
      <c r="L20" s="39" t="s">
        <v>91</v>
      </c>
      <c r="M20" s="29" t="s">
        <v>92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2.5" customHeight="1">
      <c r="A21" s="18" t="s">
        <v>93</v>
      </c>
      <c r="B21" s="19" t="s">
        <v>94</v>
      </c>
      <c r="C21" s="20" t="s">
        <v>88</v>
      </c>
      <c r="D21" s="21">
        <v>1.0</v>
      </c>
      <c r="E21" s="36" t="s">
        <v>95</v>
      </c>
      <c r="F21" s="5"/>
      <c r="G21" s="12" t="s">
        <v>96</v>
      </c>
      <c r="H21" s="13">
        <v>1.74</v>
      </c>
      <c r="I21" s="14">
        <v>2.0</v>
      </c>
      <c r="J21" s="15">
        <f t="shared" si="3"/>
        <v>3.48</v>
      </c>
      <c r="K21" s="12" t="s">
        <v>97</v>
      </c>
      <c r="L21" s="26" t="s">
        <v>98</v>
      </c>
      <c r="M21" s="12" t="s">
        <v>99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22.5" customHeight="1">
      <c r="A22" s="18" t="s">
        <v>100</v>
      </c>
      <c r="B22" s="19" t="s">
        <v>99</v>
      </c>
      <c r="C22" s="20" t="s">
        <v>88</v>
      </c>
      <c r="D22" s="21">
        <v>2.0</v>
      </c>
      <c r="E22" s="36" t="s">
        <v>101</v>
      </c>
      <c r="F22" s="5"/>
      <c r="G22" s="12"/>
      <c r="H22" s="13"/>
      <c r="I22" s="14"/>
      <c r="J22" s="15"/>
      <c r="K22" s="12"/>
      <c r="L22" s="38"/>
      <c r="M22" s="12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22.5" customHeight="1">
      <c r="A23" s="18" t="s">
        <v>102</v>
      </c>
      <c r="B23" s="19" t="s">
        <v>103</v>
      </c>
      <c r="C23" s="20" t="s">
        <v>88</v>
      </c>
      <c r="D23" s="21">
        <v>1.0</v>
      </c>
      <c r="E23" s="36" t="s">
        <v>104</v>
      </c>
      <c r="F23" s="5"/>
      <c r="G23" s="27"/>
      <c r="H23" s="15"/>
      <c r="I23" s="28"/>
      <c r="J23" s="15"/>
      <c r="K23" s="27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22.5" customHeight="1">
      <c r="A24" s="18" t="s">
        <v>105</v>
      </c>
      <c r="B24" s="19" t="s">
        <v>106</v>
      </c>
      <c r="C24" s="20" t="s">
        <v>88</v>
      </c>
      <c r="D24" s="21">
        <v>2.0</v>
      </c>
      <c r="E24" s="36" t="s">
        <v>107</v>
      </c>
      <c r="F24" s="5"/>
      <c r="G24" s="27"/>
      <c r="H24" s="15"/>
      <c r="I24" s="28"/>
      <c r="J24" s="15"/>
      <c r="K24" s="27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22.5" customHeight="1">
      <c r="A25" s="18" t="s">
        <v>108</v>
      </c>
      <c r="B25" s="19" t="s">
        <v>109</v>
      </c>
      <c r="C25" s="20" t="s">
        <v>88</v>
      </c>
      <c r="D25" s="21">
        <v>1.0</v>
      </c>
      <c r="E25" s="36" t="s">
        <v>110</v>
      </c>
      <c r="F25" s="5"/>
      <c r="G25" s="12"/>
      <c r="H25" s="13"/>
      <c r="I25" s="14"/>
      <c r="J25" s="15"/>
      <c r="K25" s="12"/>
      <c r="L25" s="38"/>
      <c r="M25" s="12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22.5" customHeight="1">
      <c r="A26" s="30" t="s">
        <v>84</v>
      </c>
      <c r="B26" s="31" t="s">
        <v>111</v>
      </c>
      <c r="C26" s="32" t="s">
        <v>88</v>
      </c>
      <c r="D26" s="33">
        <v>1.0</v>
      </c>
      <c r="E26" s="37" t="s">
        <v>112</v>
      </c>
      <c r="F26" s="5"/>
      <c r="G26" s="12"/>
      <c r="H26" s="13"/>
      <c r="I26" s="14"/>
      <c r="J26" s="15"/>
      <c r="K26" s="12"/>
      <c r="L26" s="38"/>
      <c r="M26" s="12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22.5" customHeight="1">
      <c r="A27" s="7" t="s">
        <v>113</v>
      </c>
      <c r="B27" s="8" t="s">
        <v>114</v>
      </c>
      <c r="C27" s="9" t="s">
        <v>88</v>
      </c>
      <c r="D27" s="10">
        <v>5.0</v>
      </c>
      <c r="E27" s="35" t="s">
        <v>115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22.5" customHeight="1">
      <c r="A28" s="18" t="s">
        <v>116</v>
      </c>
      <c r="B28" s="19" t="s">
        <v>117</v>
      </c>
      <c r="C28" s="20" t="s">
        <v>88</v>
      </c>
      <c r="D28" s="21">
        <v>1.0</v>
      </c>
      <c r="E28" s="36" t="s">
        <v>118</v>
      </c>
      <c r="F28" s="5"/>
      <c r="G28" s="6" t="s">
        <v>5</v>
      </c>
      <c r="H28" s="6" t="s">
        <v>6</v>
      </c>
      <c r="I28" s="6" t="s">
        <v>3</v>
      </c>
      <c r="J28" s="6" t="s">
        <v>7</v>
      </c>
      <c r="K28" s="6" t="s">
        <v>8</v>
      </c>
      <c r="L28" s="6" t="s">
        <v>9</v>
      </c>
      <c r="M28" s="6" t="s"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22.5" customHeight="1">
      <c r="A29" s="40" t="s">
        <v>119</v>
      </c>
      <c r="B29" s="41" t="s">
        <v>120</v>
      </c>
      <c r="C29" s="20" t="s">
        <v>88</v>
      </c>
      <c r="D29" s="21">
        <v>2.0</v>
      </c>
      <c r="E29" s="36" t="s">
        <v>121</v>
      </c>
      <c r="F29" s="5"/>
      <c r="G29" s="12" t="s">
        <v>122</v>
      </c>
      <c r="H29" s="13">
        <v>3.95</v>
      </c>
      <c r="I29" s="14">
        <v>1.0</v>
      </c>
      <c r="J29" s="15">
        <f t="shared" ref="J29:J30" si="4">H29*I29</f>
        <v>3.95</v>
      </c>
      <c r="K29" s="12" t="s">
        <v>49</v>
      </c>
      <c r="L29" s="25" t="s">
        <v>123</v>
      </c>
      <c r="M29" s="12" t="s">
        <v>94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22.5" customHeight="1">
      <c r="A30" s="40" t="s">
        <v>124</v>
      </c>
      <c r="B30" s="41" t="s">
        <v>125</v>
      </c>
      <c r="C30" s="20" t="s">
        <v>88</v>
      </c>
      <c r="D30" s="21">
        <v>3.0</v>
      </c>
      <c r="E30" s="36" t="s">
        <v>126</v>
      </c>
      <c r="F30" s="5"/>
      <c r="G30" s="12" t="s">
        <v>127</v>
      </c>
      <c r="H30" s="13">
        <v>399.0</v>
      </c>
      <c r="I30" s="14">
        <v>1.0</v>
      </c>
      <c r="J30" s="15">
        <f t="shared" si="4"/>
        <v>399</v>
      </c>
      <c r="K30" s="12" t="s">
        <v>128</v>
      </c>
      <c r="L30" s="26" t="s">
        <v>129</v>
      </c>
      <c r="M30" s="12" t="s">
        <v>109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22.5" customHeight="1">
      <c r="A31" s="40" t="s">
        <v>130</v>
      </c>
      <c r="B31" s="41" t="s">
        <v>131</v>
      </c>
      <c r="C31" s="20" t="s">
        <v>88</v>
      </c>
      <c r="D31" s="21">
        <v>1.0</v>
      </c>
      <c r="E31" s="36" t="s">
        <v>132</v>
      </c>
      <c r="F31" s="5"/>
      <c r="G31" s="12" t="s">
        <v>133</v>
      </c>
      <c r="H31" s="13"/>
      <c r="I31" s="14"/>
      <c r="J31" s="15"/>
      <c r="K31" s="27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22.5" customHeight="1">
      <c r="A32" s="40" t="s">
        <v>133</v>
      </c>
      <c r="B32" s="41" t="s">
        <v>134</v>
      </c>
      <c r="C32" s="20" t="s">
        <v>88</v>
      </c>
      <c r="D32" s="21">
        <v>1.0</v>
      </c>
      <c r="E32" s="36" t="s">
        <v>135</v>
      </c>
      <c r="F32" s="5"/>
      <c r="G32" s="12" t="s">
        <v>136</v>
      </c>
      <c r="H32" s="13"/>
      <c r="I32" s="14"/>
      <c r="J32" s="15"/>
      <c r="K32" s="12"/>
      <c r="L32" s="12"/>
      <c r="M32" s="12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22.5" customHeight="1">
      <c r="A33" s="42" t="s">
        <v>136</v>
      </c>
      <c r="B33" s="43"/>
      <c r="C33" s="32" t="s">
        <v>88</v>
      </c>
      <c r="D33" s="33">
        <v>1.0</v>
      </c>
      <c r="E33" s="37" t="s">
        <v>135</v>
      </c>
      <c r="F33" s="5"/>
      <c r="G33" s="12"/>
      <c r="H33" s="13"/>
      <c r="I33" s="14"/>
      <c r="J33" s="15"/>
      <c r="K33" s="12"/>
      <c r="L33" s="38"/>
      <c r="M33" s="12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22.5" customHeight="1">
      <c r="A34" s="44" t="s">
        <v>62</v>
      </c>
      <c r="B34" s="45" t="s">
        <v>137</v>
      </c>
      <c r="C34" s="9" t="s">
        <v>138</v>
      </c>
      <c r="D34" s="10">
        <v>1.0</v>
      </c>
      <c r="E34" s="11"/>
      <c r="F34" s="5"/>
      <c r="G34" s="12"/>
      <c r="H34" s="13"/>
      <c r="I34" s="14"/>
      <c r="J34" s="15"/>
      <c r="K34" s="12"/>
      <c r="L34" s="38"/>
      <c r="M34" s="12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22.5" customHeight="1">
      <c r="A35" s="40" t="s">
        <v>66</v>
      </c>
      <c r="B35" s="41" t="s">
        <v>139</v>
      </c>
      <c r="C35" s="20" t="s">
        <v>138</v>
      </c>
      <c r="D35" s="21">
        <v>1.0</v>
      </c>
      <c r="E35" s="22"/>
      <c r="F35" s="5"/>
      <c r="G35" s="12"/>
      <c r="H35" s="13"/>
      <c r="I35" s="14"/>
      <c r="J35" s="15"/>
      <c r="K35" s="12"/>
      <c r="L35" s="38"/>
      <c r="M35" s="12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22.5" customHeight="1">
      <c r="A36" s="40" t="s">
        <v>140</v>
      </c>
      <c r="B36" s="41" t="s">
        <v>141</v>
      </c>
      <c r="C36" s="20" t="s">
        <v>138</v>
      </c>
      <c r="D36" s="21">
        <v>1.0</v>
      </c>
      <c r="E36" s="36" t="s">
        <v>142</v>
      </c>
      <c r="F36" s="5"/>
      <c r="G36" s="12"/>
      <c r="H36" s="13"/>
      <c r="I36" s="14"/>
      <c r="J36" s="15"/>
      <c r="K36" s="12"/>
      <c r="L36" s="38"/>
      <c r="M36" s="12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22.5" customHeight="1">
      <c r="A37" s="42" t="s">
        <v>143</v>
      </c>
      <c r="B37" s="43" t="s">
        <v>144</v>
      </c>
      <c r="C37" s="32" t="s">
        <v>138</v>
      </c>
      <c r="D37" s="33">
        <v>1.0</v>
      </c>
      <c r="E37" s="37" t="s">
        <v>143</v>
      </c>
      <c r="F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22.5" customHeight="1">
      <c r="A38" s="12"/>
      <c r="B38" s="12"/>
      <c r="C38" s="46"/>
      <c r="D38" s="47"/>
      <c r="E38" s="12"/>
      <c r="F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22.5" customHeight="1">
      <c r="A39" s="12"/>
      <c r="B39" s="12"/>
      <c r="C39" s="46"/>
      <c r="D39" s="47"/>
      <c r="E39" s="12"/>
      <c r="F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22.5" customHeight="1">
      <c r="A40" s="12"/>
      <c r="B40" s="12"/>
      <c r="C40" s="46"/>
      <c r="D40" s="47"/>
      <c r="E40" s="12"/>
      <c r="F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22.5" customHeight="1">
      <c r="A41" s="12"/>
      <c r="B41" s="12"/>
      <c r="C41" s="46"/>
      <c r="D41" s="47"/>
      <c r="E41" s="12"/>
      <c r="F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</sheetData>
  <dataValidations>
    <dataValidation type="custom" allowBlank="1" showDropDown="1" sqref="D2:D41">
      <formula1>AND(ISNUMBER(D2),(NOT(OR(NOT(ISERROR(DATEVALUE(D2))), AND(ISNUMBER(D2), LEFT(CELL("format", D2))="D")))))</formula1>
    </dataValidation>
    <dataValidation allowBlank="1" showDropDown="1" sqref="A2:A41 E2:E41"/>
    <dataValidation type="custom" allowBlank="1" showDropDown="1" sqref="H2:J6 P7:P11 H9:J16 H19:J26 H29:J36">
      <formula1>AND(ISNUMBER(H2),(NOT(OR(NOT(ISERROR(DATEVALUE(H2))), AND(ISNUMBER(H2), LEFT(CELL("format", H2))="D")))))</formula1>
    </dataValidation>
    <dataValidation allowBlank="1" showDropDown="1" sqref="G2:G6 K2:K6 G9:G16 K9:K16 G19:G26 K19:K26 G29:G36 K29:K36 B2:B41"/>
    <dataValidation type="list" allowBlank="1" sqref="C2:C41">
      <formula1>"3D print,Fastener,PCB,Electrical,ETC"</formula1>
    </dataValidation>
  </dataValidations>
  <hyperlinks>
    <hyperlink r:id="rId1" ref="L2"/>
    <hyperlink r:id="rId2" ref="L3"/>
    <hyperlink r:id="rId3" ref="L4"/>
    <hyperlink r:id="rId4" ref="L5"/>
    <hyperlink r:id="rId5" ref="L9"/>
    <hyperlink r:id="rId6" ref="L10"/>
    <hyperlink r:id="rId7" ref="L11"/>
    <hyperlink r:id="rId8" ref="L19"/>
    <hyperlink r:id="rId9" ref="L20"/>
    <hyperlink r:id="rId10" ref="L21"/>
    <hyperlink r:id="rId11" ref="L29"/>
    <hyperlink r:id="rId12" ref="L30"/>
  </hyperlinks>
  <drawing r:id="rId13"/>
  <tableParts count="6">
    <tablePart r:id="rId20"/>
    <tablePart r:id="rId21"/>
    <tablePart r:id="rId22"/>
    <tablePart r:id="rId23"/>
    <tablePart r:id="rId24"/>
    <tablePart r:id="rId25"/>
  </tableParts>
</worksheet>
</file>